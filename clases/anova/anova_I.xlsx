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ropbox (Personal)/FACSO/Teaching/Doctorado/Cuantitativa I/Clases/"/>
    </mc:Choice>
  </mc:AlternateContent>
  <xr:revisionPtr revIDLastSave="0" documentId="13_ncr:1_{2863E091-E575-BA41-A72B-91FF0ECEA4EA}" xr6:coauthVersionLast="47" xr6:coauthVersionMax="47" xr10:uidLastSave="{00000000-0000-0000-0000-000000000000}"/>
  <bookViews>
    <workbookView xWindow="14500" yWindow="500" windowWidth="14780" windowHeight="16300" activeTab="2" xr2:uid="{EA8F02CB-BDD9-9743-A9B8-336F5AB8E2C8}"/>
  </bookViews>
  <sheets>
    <sheet name="Datos" sheetId="2" r:id="rId1"/>
    <sheet name="Anova I (2)" sheetId="3" state="hidden" r:id="rId2"/>
    <sheet name="Anova 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5" i="1" l="1"/>
  <c r="F7" i="1"/>
  <c r="F3" i="1"/>
  <c r="H25" i="1"/>
  <c r="D26" i="1"/>
  <c r="I3" i="1"/>
  <c r="I7" i="1"/>
  <c r="I11" i="1"/>
  <c r="I1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D25" i="1"/>
  <c r="D18" i="1"/>
  <c r="D17" i="1"/>
  <c r="D16" i="1"/>
  <c r="D15" i="1"/>
  <c r="G3" i="1"/>
  <c r="E3" i="1"/>
  <c r="E20" i="1"/>
  <c r="B20" i="1"/>
  <c r="B21" i="1" s="1"/>
  <c r="E17" i="1" s="1"/>
  <c r="E36" i="1"/>
  <c r="E35" i="1"/>
  <c r="D35" i="1"/>
  <c r="B35" i="1"/>
  <c r="D3" i="1" s="1"/>
  <c r="B24" i="3"/>
  <c r="B25" i="3" s="1"/>
  <c r="F39" i="3"/>
  <c r="F38" i="3"/>
  <c r="D19" i="3" s="1"/>
  <c r="E39" i="3"/>
  <c r="E38" i="3"/>
  <c r="D16" i="3" s="1"/>
  <c r="D39" i="3"/>
  <c r="C39" i="3"/>
  <c r="B39" i="3"/>
  <c r="D38" i="3"/>
  <c r="D11" i="3" s="1"/>
  <c r="G11" i="3" s="1"/>
  <c r="C38" i="3"/>
  <c r="D10" i="3" s="1"/>
  <c r="G10" i="3" s="1"/>
  <c r="B38" i="3"/>
  <c r="D5" i="3" s="1"/>
  <c r="G5" i="3" s="1"/>
  <c r="D29" i="3"/>
  <c r="D28" i="3"/>
  <c r="E10" i="1" l="1"/>
  <c r="E18" i="1"/>
  <c r="E13" i="1"/>
  <c r="E5" i="1"/>
  <c r="E12" i="1"/>
  <c r="E4" i="1"/>
  <c r="E9" i="1"/>
  <c r="E16" i="1"/>
  <c r="E8" i="1"/>
  <c r="E15" i="1"/>
  <c r="E7" i="1"/>
  <c r="E14" i="1"/>
  <c r="E6" i="1"/>
  <c r="E11" i="1"/>
  <c r="G16" i="3"/>
  <c r="F16" i="3"/>
  <c r="F19" i="3"/>
  <c r="G19" i="3"/>
  <c r="E6" i="3"/>
  <c r="E14" i="3"/>
  <c r="E3" i="3"/>
  <c r="E24" i="3" s="1"/>
  <c r="E7" i="3"/>
  <c r="E15" i="3"/>
  <c r="E21" i="3"/>
  <c r="E8" i="3"/>
  <c r="E16" i="3"/>
  <c r="E10" i="3"/>
  <c r="E18" i="3"/>
  <c r="E5" i="3"/>
  <c r="E13" i="3"/>
  <c r="E9" i="3"/>
  <c r="E17" i="3"/>
  <c r="E22" i="3"/>
  <c r="E11" i="3"/>
  <c r="E19" i="3"/>
  <c r="E4" i="3"/>
  <c r="E12" i="3"/>
  <c r="E20" i="3"/>
  <c r="D21" i="3"/>
  <c r="D20" i="3"/>
  <c r="D22" i="3"/>
  <c r="D15" i="3"/>
  <c r="D17" i="3"/>
  <c r="D18" i="3"/>
  <c r="D7" i="3"/>
  <c r="D9" i="3"/>
  <c r="D8" i="3"/>
  <c r="G8" i="3" s="1"/>
  <c r="D12" i="3"/>
  <c r="G12" i="3" s="1"/>
  <c r="D14" i="3"/>
  <c r="F5" i="3"/>
  <c r="F11" i="3"/>
  <c r="F10" i="3"/>
  <c r="D4" i="3"/>
  <c r="G4" i="3" s="1"/>
  <c r="D6" i="3"/>
  <c r="G6" i="3" s="1"/>
  <c r="D3" i="3"/>
  <c r="D13" i="3"/>
  <c r="G13" i="3" s="1"/>
  <c r="F18" i="3" l="1"/>
  <c r="G18" i="3"/>
  <c r="G14" i="3"/>
  <c r="F14" i="3"/>
  <c r="F3" i="3"/>
  <c r="G3" i="3"/>
  <c r="G15" i="3"/>
  <c r="F15" i="3"/>
  <c r="G22" i="3"/>
  <c r="F22" i="3"/>
  <c r="F9" i="3"/>
  <c r="G9" i="3"/>
  <c r="F7" i="3"/>
  <c r="G7" i="3"/>
  <c r="G17" i="3"/>
  <c r="F17" i="3"/>
  <c r="G20" i="3"/>
  <c r="F20" i="3"/>
  <c r="G21" i="3"/>
  <c r="F21" i="3"/>
  <c r="F8" i="3"/>
  <c r="F12" i="3"/>
  <c r="F6" i="3"/>
  <c r="F4" i="3"/>
  <c r="F13" i="3"/>
  <c r="G24" i="3" l="1"/>
  <c r="C28" i="3" s="1"/>
  <c r="F24" i="3"/>
  <c r="C29" i="3" s="1"/>
  <c r="E29" i="3"/>
  <c r="C30" i="3" l="1"/>
  <c r="E28" i="3"/>
  <c r="F28" i="3" s="1"/>
  <c r="D36" i="1" l="1"/>
  <c r="C36" i="1"/>
  <c r="C35" i="1"/>
  <c r="B36" i="1"/>
  <c r="D8" i="1" l="1"/>
  <c r="G8" i="1" s="1"/>
  <c r="D7" i="1"/>
  <c r="D12" i="1"/>
  <c r="D10" i="1"/>
  <c r="D9" i="1"/>
  <c r="D6" i="1"/>
  <c r="D5" i="1"/>
  <c r="D4" i="1"/>
  <c r="D11" i="1"/>
  <c r="D14" i="1"/>
  <c r="D13" i="1"/>
  <c r="G13" i="1" l="1"/>
  <c r="G14" i="1"/>
  <c r="G4" i="1"/>
  <c r="G17" i="1"/>
  <c r="G11" i="1"/>
  <c r="G15" i="1"/>
  <c r="G16" i="1"/>
  <c r="G5" i="1"/>
  <c r="G18" i="1"/>
  <c r="G6" i="1"/>
  <c r="G12" i="1"/>
  <c r="G9" i="1"/>
  <c r="G7" i="1"/>
  <c r="G10" i="1"/>
  <c r="F20" i="1" l="1"/>
  <c r="C25" i="1" s="1"/>
  <c r="G20" i="1"/>
  <c r="C26" i="1" s="1"/>
  <c r="E26" i="1" s="1"/>
  <c r="F25" i="1" l="1"/>
  <c r="C27" i="1"/>
</calcChain>
</file>

<file path=xl/sharedStrings.xml><?xml version="1.0" encoding="utf-8"?>
<sst xmlns="http://schemas.openxmlformats.org/spreadsheetml/2006/main" count="111" uniqueCount="35">
  <si>
    <t>ID</t>
  </si>
  <si>
    <t>Grupo</t>
  </si>
  <si>
    <t>prom_grupo</t>
  </si>
  <si>
    <t>SS_total</t>
  </si>
  <si>
    <t>suma</t>
  </si>
  <si>
    <t>promedio</t>
  </si>
  <si>
    <t>SS_intra</t>
  </si>
  <si>
    <t>SS_entre</t>
  </si>
  <si>
    <t>SS_totales</t>
  </si>
  <si>
    <t>SS</t>
  </si>
  <si>
    <t>Gl</t>
  </si>
  <si>
    <t>Media cuadrática</t>
  </si>
  <si>
    <t>F</t>
  </si>
  <si>
    <t>Gl1</t>
  </si>
  <si>
    <t>Gl2</t>
  </si>
  <si>
    <t>K-1</t>
  </si>
  <si>
    <t>N-K</t>
  </si>
  <si>
    <t>perro</t>
  </si>
  <si>
    <t>gato</t>
  </si>
  <si>
    <t>bienestar</t>
  </si>
  <si>
    <t>control</t>
  </si>
  <si>
    <t>F crítico (tabla)</t>
  </si>
  <si>
    <t>Promedio</t>
  </si>
  <si>
    <t>Desv Estandar</t>
  </si>
  <si>
    <t>Control</t>
  </si>
  <si>
    <t>Gato</t>
  </si>
  <si>
    <t>Perro</t>
  </si>
  <si>
    <t>1problema</t>
  </si>
  <si>
    <t>2problema</t>
  </si>
  <si>
    <t>3problema</t>
  </si>
  <si>
    <t>4problema</t>
  </si>
  <si>
    <t>1Problema</t>
  </si>
  <si>
    <t>otro</t>
  </si>
  <si>
    <t>Otro</t>
  </si>
  <si>
    <t>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</si>
</sst>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A475-24A7-6542-A1BB-BBC05F6A5781}">
  <dimension ref="A1:C17"/>
  <sheetViews>
    <sheetView zoomScale="130" zoomScaleNormal="130" workbookViewId="0">
      <selection activeCell="B20" sqref="B2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19</v>
      </c>
      <c r="C1" s="1" t="s">
        <v>1</v>
      </c>
    </row>
    <row r="2" spans="1:3" x14ac:dyDescent="0.2">
      <c r="A2" s="1">
        <v>1</v>
      </c>
      <c r="B2" s="1">
        <v>3</v>
      </c>
      <c r="C2" s="1" t="s">
        <v>20</v>
      </c>
    </row>
    <row r="3" spans="1:3" x14ac:dyDescent="0.2">
      <c r="A3" s="1">
        <v>2</v>
      </c>
      <c r="B3" s="1">
        <v>4</v>
      </c>
      <c r="C3" s="1" t="s">
        <v>20</v>
      </c>
    </row>
    <row r="4" spans="1:3" x14ac:dyDescent="0.2">
      <c r="A4" s="1">
        <v>3</v>
      </c>
      <c r="B4" s="1">
        <v>3</v>
      </c>
      <c r="C4" s="1" t="s">
        <v>20</v>
      </c>
    </row>
    <row r="5" spans="1:3" x14ac:dyDescent="0.2">
      <c r="A5" s="1">
        <v>4</v>
      </c>
      <c r="B5" s="1">
        <v>2</v>
      </c>
      <c r="C5" s="1" t="s">
        <v>20</v>
      </c>
    </row>
    <row r="6" spans="1:3" x14ac:dyDescent="0.2">
      <c r="A6" s="1">
        <v>5</v>
      </c>
      <c r="B6" s="1">
        <v>9</v>
      </c>
      <c r="C6" s="1" t="s">
        <v>17</v>
      </c>
    </row>
    <row r="7" spans="1:3" x14ac:dyDescent="0.2">
      <c r="A7" s="1">
        <v>6</v>
      </c>
      <c r="B7" s="1">
        <v>8</v>
      </c>
      <c r="C7" s="1" t="s">
        <v>17</v>
      </c>
    </row>
    <row r="8" spans="1:3" x14ac:dyDescent="0.2">
      <c r="A8" s="1">
        <v>7</v>
      </c>
      <c r="B8" s="1">
        <v>10</v>
      </c>
      <c r="C8" s="1" t="s">
        <v>17</v>
      </c>
    </row>
    <row r="9" spans="1:3" x14ac:dyDescent="0.2">
      <c r="A9" s="1">
        <v>8</v>
      </c>
      <c r="B9" s="1">
        <v>10</v>
      </c>
      <c r="C9" s="1" t="s">
        <v>17</v>
      </c>
    </row>
    <row r="10" spans="1:3" x14ac:dyDescent="0.2">
      <c r="A10" s="1">
        <v>9</v>
      </c>
      <c r="B10" s="1">
        <v>6</v>
      </c>
      <c r="C10" s="1" t="s">
        <v>18</v>
      </c>
    </row>
    <row r="11" spans="1:3" x14ac:dyDescent="0.2">
      <c r="A11" s="1">
        <v>10</v>
      </c>
      <c r="B11" s="1">
        <v>5</v>
      </c>
      <c r="C11" s="1" t="s">
        <v>18</v>
      </c>
    </row>
    <row r="12" spans="1:3" x14ac:dyDescent="0.2">
      <c r="A12" s="1">
        <v>11</v>
      </c>
      <c r="B12" s="1">
        <v>3</v>
      </c>
      <c r="C12" s="1" t="s">
        <v>18</v>
      </c>
    </row>
    <row r="13" spans="1:3" x14ac:dyDescent="0.2">
      <c r="A13" s="1">
        <v>12</v>
      </c>
      <c r="B13" s="1">
        <v>7</v>
      </c>
      <c r="C13" s="1" t="s">
        <v>18</v>
      </c>
    </row>
    <row r="14" spans="1:3" x14ac:dyDescent="0.2">
      <c r="A14" s="1">
        <v>13</v>
      </c>
      <c r="B14" s="1">
        <v>3</v>
      </c>
      <c r="C14" s="1" t="s">
        <v>32</v>
      </c>
    </row>
    <row r="15" spans="1:3" x14ac:dyDescent="0.2">
      <c r="A15" s="1">
        <v>14</v>
      </c>
      <c r="B15" s="1">
        <v>8</v>
      </c>
      <c r="C15" s="1" t="s">
        <v>32</v>
      </c>
    </row>
    <row r="16" spans="1:3" x14ac:dyDescent="0.2">
      <c r="A16" s="1">
        <v>15</v>
      </c>
      <c r="B16" s="1">
        <v>2</v>
      </c>
      <c r="C16" s="1" t="s">
        <v>32</v>
      </c>
    </row>
    <row r="17" spans="1:3" x14ac:dyDescent="0.2">
      <c r="A17" s="1">
        <v>16</v>
      </c>
      <c r="B17" s="1">
        <v>4</v>
      </c>
      <c r="C17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17CB-BFE3-BF4B-97E5-957AC420960B}">
  <dimension ref="A2:J39"/>
  <sheetViews>
    <sheetView workbookViewId="0">
      <selection activeCell="I16" sqref="I16"/>
    </sheetView>
  </sheetViews>
  <sheetFormatPr baseColWidth="10" defaultRowHeight="16" x14ac:dyDescent="0.2"/>
  <cols>
    <col min="1" max="1" width="12.6640625" bestFit="1" customWidth="1"/>
    <col min="5" max="7" width="16" customWidth="1"/>
  </cols>
  <sheetData>
    <row r="2" spans="1:10" x14ac:dyDescent="0.2">
      <c r="A2" s="1" t="s">
        <v>0</v>
      </c>
      <c r="B2" s="1" t="s">
        <v>19</v>
      </c>
      <c r="C2" s="1" t="s">
        <v>1</v>
      </c>
      <c r="D2" s="1" t="s">
        <v>2</v>
      </c>
      <c r="E2" s="1" t="s">
        <v>3</v>
      </c>
      <c r="F2" s="1" t="s">
        <v>6</v>
      </c>
      <c r="G2" s="1" t="s">
        <v>7</v>
      </c>
    </row>
    <row r="3" spans="1:10" x14ac:dyDescent="0.2">
      <c r="A3" s="1">
        <v>1</v>
      </c>
      <c r="B3" s="1">
        <v>27</v>
      </c>
      <c r="C3" s="1" t="s">
        <v>20</v>
      </c>
      <c r="D3" s="1">
        <f>$B$38</f>
        <v>24.75</v>
      </c>
      <c r="E3" s="1">
        <f>(B3-$B$25)^2</f>
        <v>142.80249999999998</v>
      </c>
      <c r="F3" s="1">
        <f>(B3-D3)^2</f>
        <v>5.0625</v>
      </c>
      <c r="G3" s="1">
        <f>(D3-$B$25)^2</f>
        <v>94.089999999999989</v>
      </c>
      <c r="H3" s="2"/>
      <c r="I3" s="2"/>
      <c r="J3" s="2"/>
    </row>
    <row r="4" spans="1:10" x14ac:dyDescent="0.2">
      <c r="A4" s="1">
        <v>2</v>
      </c>
      <c r="B4" s="1">
        <v>25</v>
      </c>
      <c r="C4" s="1" t="s">
        <v>20</v>
      </c>
      <c r="D4" s="1">
        <f>$B$38</f>
        <v>24.75</v>
      </c>
      <c r="E4" s="1">
        <f t="shared" ref="E4:E21" si="0">(B4-$B$25)^2</f>
        <v>99.002499999999984</v>
      </c>
      <c r="F4" s="1">
        <f t="shared" ref="F4:F13" si="1">(B4-D4)^2</f>
        <v>6.25E-2</v>
      </c>
      <c r="G4" s="1">
        <f t="shared" ref="G4:G22" si="2">(D4-$B$25)^2</f>
        <v>94.089999999999989</v>
      </c>
      <c r="H4" s="2"/>
      <c r="I4" s="2"/>
      <c r="J4" s="2"/>
    </row>
    <row r="5" spans="1:10" x14ac:dyDescent="0.2">
      <c r="A5" s="1">
        <v>3</v>
      </c>
      <c r="B5" s="1">
        <v>24</v>
      </c>
      <c r="C5" s="1" t="s">
        <v>20</v>
      </c>
      <c r="D5" s="1">
        <f>$B$38</f>
        <v>24.75</v>
      </c>
      <c r="E5" s="1">
        <f t="shared" si="0"/>
        <v>80.102499999999992</v>
      </c>
      <c r="F5" s="1">
        <f t="shared" si="1"/>
        <v>0.5625</v>
      </c>
      <c r="G5" s="1">
        <f t="shared" si="2"/>
        <v>94.089999999999989</v>
      </c>
      <c r="H5" s="2"/>
      <c r="I5" s="2"/>
      <c r="J5" s="2"/>
    </row>
    <row r="6" spans="1:10" x14ac:dyDescent="0.2">
      <c r="A6" s="1">
        <v>4</v>
      </c>
      <c r="B6" s="1">
        <v>23</v>
      </c>
      <c r="C6" s="1" t="s">
        <v>20</v>
      </c>
      <c r="D6" s="1">
        <f>$B$38</f>
        <v>24.75</v>
      </c>
      <c r="E6" s="1">
        <f t="shared" si="0"/>
        <v>63.202499999999986</v>
      </c>
      <c r="F6" s="1">
        <f t="shared" si="1"/>
        <v>3.0625</v>
      </c>
      <c r="G6" s="1">
        <f t="shared" si="2"/>
        <v>94.089999999999989</v>
      </c>
      <c r="H6" s="2"/>
      <c r="I6" s="2"/>
      <c r="J6" s="2"/>
    </row>
    <row r="7" spans="1:10" x14ac:dyDescent="0.2">
      <c r="A7" s="1">
        <v>5</v>
      </c>
      <c r="B7" s="1">
        <v>20</v>
      </c>
      <c r="C7" s="1" t="s">
        <v>27</v>
      </c>
      <c r="D7" s="1">
        <f>$C$38</f>
        <v>19</v>
      </c>
      <c r="E7" s="1">
        <f t="shared" si="0"/>
        <v>24.502499999999994</v>
      </c>
      <c r="F7" s="1">
        <f t="shared" si="1"/>
        <v>1</v>
      </c>
      <c r="G7" s="1">
        <f t="shared" si="2"/>
        <v>15.602499999999994</v>
      </c>
      <c r="H7" s="2"/>
      <c r="I7" s="2"/>
      <c r="J7" s="2"/>
    </row>
    <row r="8" spans="1:10" x14ac:dyDescent="0.2">
      <c r="A8" s="1">
        <v>6</v>
      </c>
      <c r="B8" s="1">
        <v>19</v>
      </c>
      <c r="C8" s="1" t="s">
        <v>27</v>
      </c>
      <c r="D8" s="1">
        <f t="shared" ref="D8:D10" si="3">$C$38</f>
        <v>19</v>
      </c>
      <c r="E8" s="1">
        <f t="shared" si="0"/>
        <v>15.602499999999994</v>
      </c>
      <c r="F8" s="1">
        <f t="shared" si="1"/>
        <v>0</v>
      </c>
      <c r="G8" s="1">
        <f t="shared" si="2"/>
        <v>15.602499999999994</v>
      </c>
      <c r="H8" s="2"/>
      <c r="I8" s="2"/>
      <c r="J8" s="2"/>
    </row>
    <row r="9" spans="1:10" x14ac:dyDescent="0.2">
      <c r="A9" s="1">
        <v>7</v>
      </c>
      <c r="B9" s="1">
        <v>19</v>
      </c>
      <c r="C9" s="1" t="s">
        <v>27</v>
      </c>
      <c r="D9" s="1">
        <f t="shared" si="3"/>
        <v>19</v>
      </c>
      <c r="E9" s="1">
        <f t="shared" si="0"/>
        <v>15.602499999999994</v>
      </c>
      <c r="F9" s="1">
        <f t="shared" si="1"/>
        <v>0</v>
      </c>
      <c r="G9" s="1">
        <f t="shared" si="2"/>
        <v>15.602499999999994</v>
      </c>
    </row>
    <row r="10" spans="1:10" x14ac:dyDescent="0.2">
      <c r="A10" s="1">
        <v>8</v>
      </c>
      <c r="B10" s="1">
        <v>18</v>
      </c>
      <c r="C10" s="1" t="s">
        <v>27</v>
      </c>
      <c r="D10" s="1">
        <f t="shared" si="3"/>
        <v>19</v>
      </c>
      <c r="E10" s="1">
        <f t="shared" si="0"/>
        <v>8.7024999999999952</v>
      </c>
      <c r="F10" s="1">
        <f t="shared" si="1"/>
        <v>1</v>
      </c>
      <c r="G10" s="1">
        <f t="shared" si="2"/>
        <v>15.602499999999994</v>
      </c>
    </row>
    <row r="11" spans="1:10" x14ac:dyDescent="0.2">
      <c r="A11" s="1">
        <v>9</v>
      </c>
      <c r="B11" s="1">
        <v>16</v>
      </c>
      <c r="C11" s="1" t="s">
        <v>28</v>
      </c>
      <c r="D11" s="1">
        <f>D$38</f>
        <v>14.5</v>
      </c>
      <c r="E11" s="1">
        <f t="shared" si="0"/>
        <v>0.90249999999999864</v>
      </c>
      <c r="F11" s="1">
        <f t="shared" si="1"/>
        <v>2.25</v>
      </c>
      <c r="G11" s="1">
        <f t="shared" si="2"/>
        <v>0.30250000000000077</v>
      </c>
    </row>
    <row r="12" spans="1:10" x14ac:dyDescent="0.2">
      <c r="A12" s="1">
        <v>10</v>
      </c>
      <c r="B12" s="1">
        <v>15</v>
      </c>
      <c r="C12" s="1" t="s">
        <v>28</v>
      </c>
      <c r="D12" s="1">
        <f t="shared" ref="D12:D14" si="4">D$38</f>
        <v>14.5</v>
      </c>
      <c r="E12" s="1">
        <f t="shared" si="0"/>
        <v>2.5000000000000712E-3</v>
      </c>
      <c r="F12" s="1">
        <f t="shared" si="1"/>
        <v>0.25</v>
      </c>
      <c r="G12" s="1">
        <f t="shared" si="2"/>
        <v>0.30250000000000077</v>
      </c>
    </row>
    <row r="13" spans="1:10" x14ac:dyDescent="0.2">
      <c r="A13" s="1">
        <v>11</v>
      </c>
      <c r="B13" s="1">
        <v>14</v>
      </c>
      <c r="C13" s="1" t="s">
        <v>28</v>
      </c>
      <c r="D13" s="1">
        <f t="shared" si="4"/>
        <v>14.5</v>
      </c>
      <c r="E13" s="1">
        <f t="shared" si="0"/>
        <v>1.1025000000000016</v>
      </c>
      <c r="F13" s="1">
        <f t="shared" si="1"/>
        <v>0.25</v>
      </c>
      <c r="G13" s="1">
        <f t="shared" si="2"/>
        <v>0.30250000000000077</v>
      </c>
    </row>
    <row r="14" spans="1:10" x14ac:dyDescent="0.2">
      <c r="A14" s="1">
        <v>12</v>
      </c>
      <c r="B14" s="1">
        <v>13</v>
      </c>
      <c r="C14" s="1" t="s">
        <v>28</v>
      </c>
      <c r="D14" s="1">
        <f t="shared" si="4"/>
        <v>14.5</v>
      </c>
      <c r="E14" s="1">
        <f t="shared" si="0"/>
        <v>4.2025000000000032</v>
      </c>
      <c r="F14" s="1">
        <f>(B14-D14)^2</f>
        <v>2.25</v>
      </c>
      <c r="G14" s="1">
        <f t="shared" si="2"/>
        <v>0.30250000000000077</v>
      </c>
    </row>
    <row r="15" spans="1:10" x14ac:dyDescent="0.2">
      <c r="A15" s="1">
        <v>13</v>
      </c>
      <c r="B15" s="1">
        <v>11</v>
      </c>
      <c r="C15" s="1" t="s">
        <v>29</v>
      </c>
      <c r="D15" s="1">
        <f>E$38</f>
        <v>10</v>
      </c>
      <c r="E15" s="1">
        <f t="shared" si="0"/>
        <v>16.402500000000007</v>
      </c>
      <c r="F15" s="1">
        <f t="shared" ref="F15:F21" si="5">(B15-D15)^2</f>
        <v>1</v>
      </c>
      <c r="G15" s="1">
        <f t="shared" si="2"/>
        <v>25.502500000000008</v>
      </c>
    </row>
    <row r="16" spans="1:10" x14ac:dyDescent="0.2">
      <c r="A16" s="1">
        <v>14</v>
      </c>
      <c r="B16" s="1">
        <v>10</v>
      </c>
      <c r="C16" s="1" t="s">
        <v>29</v>
      </c>
      <c r="D16" s="1">
        <f t="shared" ref="D16:D18" si="6">E$38</f>
        <v>10</v>
      </c>
      <c r="E16" s="1">
        <f t="shared" si="0"/>
        <v>25.502500000000008</v>
      </c>
      <c r="F16" s="1">
        <f t="shared" si="5"/>
        <v>0</v>
      </c>
      <c r="G16" s="1">
        <f t="shared" si="2"/>
        <v>25.502500000000008</v>
      </c>
    </row>
    <row r="17" spans="1:7" x14ac:dyDescent="0.2">
      <c r="A17" s="1">
        <v>15</v>
      </c>
      <c r="B17" s="1">
        <v>10</v>
      </c>
      <c r="C17" s="1" t="s">
        <v>29</v>
      </c>
      <c r="D17" s="1">
        <f t="shared" si="6"/>
        <v>10</v>
      </c>
      <c r="E17" s="1">
        <f t="shared" si="0"/>
        <v>25.502500000000008</v>
      </c>
      <c r="F17" s="1">
        <f t="shared" si="5"/>
        <v>0</v>
      </c>
      <c r="G17" s="1">
        <f t="shared" si="2"/>
        <v>25.502500000000008</v>
      </c>
    </row>
    <row r="18" spans="1:7" x14ac:dyDescent="0.2">
      <c r="A18" s="1">
        <v>16</v>
      </c>
      <c r="B18" s="1">
        <v>9</v>
      </c>
      <c r="C18" s="1" t="s">
        <v>29</v>
      </c>
      <c r="D18" s="1">
        <f t="shared" si="6"/>
        <v>10</v>
      </c>
      <c r="E18" s="1">
        <f t="shared" si="0"/>
        <v>36.602500000000006</v>
      </c>
      <c r="F18" s="1">
        <f t="shared" si="5"/>
        <v>1</v>
      </c>
      <c r="G18" s="1">
        <f t="shared" si="2"/>
        <v>25.502500000000008</v>
      </c>
    </row>
    <row r="19" spans="1:7" x14ac:dyDescent="0.2">
      <c r="A19" s="1">
        <v>17</v>
      </c>
      <c r="B19" s="1">
        <v>8</v>
      </c>
      <c r="C19" s="1" t="s">
        <v>30</v>
      </c>
      <c r="D19" s="1">
        <f>F$38</f>
        <v>7</v>
      </c>
      <c r="E19" s="1">
        <f t="shared" si="0"/>
        <v>49.702500000000008</v>
      </c>
      <c r="F19" s="1">
        <f t="shared" si="5"/>
        <v>1</v>
      </c>
      <c r="G19" s="1">
        <f t="shared" si="2"/>
        <v>64.802500000000009</v>
      </c>
    </row>
    <row r="20" spans="1:7" x14ac:dyDescent="0.2">
      <c r="A20" s="1">
        <v>18</v>
      </c>
      <c r="B20" s="1">
        <v>7</v>
      </c>
      <c r="C20" s="1" t="s">
        <v>30</v>
      </c>
      <c r="D20" s="1">
        <f t="shared" ref="D20:D22" si="7">F$38</f>
        <v>7</v>
      </c>
      <c r="E20" s="1">
        <f t="shared" si="0"/>
        <v>64.802500000000009</v>
      </c>
      <c r="F20" s="1">
        <f t="shared" si="5"/>
        <v>0</v>
      </c>
      <c r="G20" s="1">
        <f t="shared" si="2"/>
        <v>64.802500000000009</v>
      </c>
    </row>
    <row r="21" spans="1:7" x14ac:dyDescent="0.2">
      <c r="A21" s="1">
        <v>19</v>
      </c>
      <c r="B21" s="1">
        <v>7</v>
      </c>
      <c r="C21" s="1" t="s">
        <v>30</v>
      </c>
      <c r="D21" s="1">
        <f t="shared" si="7"/>
        <v>7</v>
      </c>
      <c r="E21" s="1">
        <f t="shared" si="0"/>
        <v>64.802500000000009</v>
      </c>
      <c r="F21" s="1">
        <f t="shared" si="5"/>
        <v>0</v>
      </c>
      <c r="G21" s="1">
        <f t="shared" si="2"/>
        <v>64.802500000000009</v>
      </c>
    </row>
    <row r="22" spans="1:7" x14ac:dyDescent="0.2">
      <c r="A22" s="1">
        <v>20</v>
      </c>
      <c r="B22" s="1">
        <v>6</v>
      </c>
      <c r="C22" s="1" t="s">
        <v>30</v>
      </c>
      <c r="D22" s="1">
        <f t="shared" si="7"/>
        <v>7</v>
      </c>
      <c r="E22" s="1">
        <f>(B22-$B$25)^2</f>
        <v>81.902500000000018</v>
      </c>
      <c r="F22" s="1">
        <f>(B22-D22)^2</f>
        <v>1</v>
      </c>
      <c r="G22" s="1">
        <f t="shared" si="2"/>
        <v>64.802500000000009</v>
      </c>
    </row>
    <row r="23" spans="1:7" x14ac:dyDescent="0.2">
      <c r="E23" s="1"/>
      <c r="F23" s="1"/>
      <c r="G23" s="1"/>
    </row>
    <row r="24" spans="1:7" x14ac:dyDescent="0.2">
      <c r="A24" t="s">
        <v>4</v>
      </c>
      <c r="B24">
        <f>SUM(B3:B22)</f>
        <v>301</v>
      </c>
      <c r="E24" s="1">
        <f>SUM(E3:E22)</f>
        <v>820.94999999999993</v>
      </c>
      <c r="F24" s="1">
        <f>SUM(F3:F22)</f>
        <v>19.75</v>
      </c>
      <c r="G24" s="1">
        <f>SUM(G3:G22)</f>
        <v>801.20000000000016</v>
      </c>
    </row>
    <row r="25" spans="1:7" x14ac:dyDescent="0.2">
      <c r="A25" t="s">
        <v>5</v>
      </c>
      <c r="B25">
        <f>B24/20</f>
        <v>15.05</v>
      </c>
    </row>
    <row r="27" spans="1:7" x14ac:dyDescent="0.2">
      <c r="C27" t="s">
        <v>9</v>
      </c>
      <c r="D27" t="s">
        <v>10</v>
      </c>
      <c r="E27" t="s">
        <v>11</v>
      </c>
      <c r="F27" t="s">
        <v>12</v>
      </c>
      <c r="G27" t="s">
        <v>21</v>
      </c>
    </row>
    <row r="28" spans="1:7" x14ac:dyDescent="0.2">
      <c r="B28" t="s">
        <v>7</v>
      </c>
      <c r="C28">
        <f>G24</f>
        <v>801.20000000000016</v>
      </c>
      <c r="D28">
        <f>3-1</f>
        <v>2</v>
      </c>
      <c r="E28">
        <f>C28/D28</f>
        <v>400.60000000000008</v>
      </c>
      <c r="F28">
        <f>E28/E29</f>
        <v>182.55189873417723</v>
      </c>
    </row>
    <row r="29" spans="1:7" x14ac:dyDescent="0.2">
      <c r="B29" t="s">
        <v>6</v>
      </c>
      <c r="C29">
        <f>F24</f>
        <v>19.75</v>
      </c>
      <c r="D29">
        <f>12-3</f>
        <v>9</v>
      </c>
      <c r="E29">
        <f>C29/D29</f>
        <v>2.1944444444444446</v>
      </c>
    </row>
    <row r="30" spans="1:7" x14ac:dyDescent="0.2">
      <c r="B30" t="s">
        <v>8</v>
      </c>
      <c r="C30">
        <f>C28+C29</f>
        <v>820.95000000000016</v>
      </c>
    </row>
    <row r="33" spans="1:6" x14ac:dyDescent="0.2">
      <c r="B33" t="s">
        <v>13</v>
      </c>
      <c r="C33" t="s">
        <v>15</v>
      </c>
      <c r="D33" s="3"/>
    </row>
    <row r="34" spans="1:6" x14ac:dyDescent="0.2">
      <c r="B34" t="s">
        <v>14</v>
      </c>
      <c r="C34" t="s">
        <v>16</v>
      </c>
    </row>
    <row r="37" spans="1:6" x14ac:dyDescent="0.2">
      <c r="B37" t="s">
        <v>24</v>
      </c>
      <c r="C37" t="s">
        <v>31</v>
      </c>
      <c r="D37" t="s">
        <v>28</v>
      </c>
      <c r="E37" t="s">
        <v>29</v>
      </c>
      <c r="F37" t="s">
        <v>30</v>
      </c>
    </row>
    <row r="38" spans="1:6" x14ac:dyDescent="0.2">
      <c r="A38" t="s">
        <v>22</v>
      </c>
      <c r="B38">
        <f>AVERAGE(B3:B6)</f>
        <v>24.75</v>
      </c>
      <c r="C38">
        <f>AVERAGE(B7:B10)</f>
        <v>19</v>
      </c>
      <c r="D38">
        <f>AVERAGE(B11:B14)</f>
        <v>14.5</v>
      </c>
      <c r="E38">
        <f>AVERAGE(B15:B18)</f>
        <v>10</v>
      </c>
      <c r="F38">
        <f>AVERAGE(B19:B22)</f>
        <v>7</v>
      </c>
    </row>
    <row r="39" spans="1:6" x14ac:dyDescent="0.2">
      <c r="A39" t="s">
        <v>23</v>
      </c>
      <c r="B39">
        <f>_xlfn.STDEV.S(B3:B6)</f>
        <v>1.707825127659933</v>
      </c>
      <c r="C39">
        <f>_xlfn.STDEV.S(B7:B10)</f>
        <v>0.81649658092772603</v>
      </c>
      <c r="D39">
        <f>_xlfn.STDEV.S(B11:B14)</f>
        <v>1.2909944487358056</v>
      </c>
      <c r="E39">
        <f>_xlfn.STDEV.S(B15:B18)</f>
        <v>0.81649658092772603</v>
      </c>
      <c r="F39">
        <f>_xlfn.STDEV.S(B19:B22)</f>
        <v>0.81649658092772603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C703-021B-EF45-AB43-E12474613634}">
  <dimension ref="A2:J36"/>
  <sheetViews>
    <sheetView tabSelected="1" topLeftCell="A2" zoomScale="160" zoomScaleNormal="160" workbookViewId="0">
      <selection activeCell="F25" sqref="F25"/>
    </sheetView>
  </sheetViews>
  <sheetFormatPr baseColWidth="10" defaultRowHeight="16" x14ac:dyDescent="0.2"/>
  <cols>
    <col min="1" max="1" width="12.6640625" bestFit="1" customWidth="1"/>
    <col min="5" max="7" width="16" customWidth="1"/>
  </cols>
  <sheetData>
    <row r="2" spans="1:10" x14ac:dyDescent="0.2">
      <c r="A2" s="1" t="s">
        <v>0</v>
      </c>
      <c r="B2" s="1" t="s">
        <v>19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6</v>
      </c>
    </row>
    <row r="3" spans="1:10" x14ac:dyDescent="0.2">
      <c r="A3" s="1">
        <v>1</v>
      </c>
      <c r="B3" s="1">
        <v>3</v>
      </c>
      <c r="C3" s="1" t="s">
        <v>20</v>
      </c>
      <c r="D3" s="4">
        <f>$B$35</f>
        <v>3</v>
      </c>
      <c r="E3" s="4">
        <f>(B3-$B$21)^2</f>
        <v>5.94140625</v>
      </c>
      <c r="F3" s="4">
        <f>(D3-$B$21)^2</f>
        <v>5.94140625</v>
      </c>
      <c r="G3" s="4">
        <f>(B3-D3)^2</f>
        <v>0</v>
      </c>
      <c r="H3" s="6">
        <f>D3-$B$21</f>
        <v>-2.4375</v>
      </c>
      <c r="I3" s="7">
        <f>F3*4</f>
        <v>23.765625</v>
      </c>
      <c r="J3" s="2"/>
    </row>
    <row r="4" spans="1:10" x14ac:dyDescent="0.2">
      <c r="A4" s="1">
        <v>2</v>
      </c>
      <c r="B4" s="1">
        <v>4</v>
      </c>
      <c r="C4" s="1" t="s">
        <v>20</v>
      </c>
      <c r="D4" s="4">
        <f>$B$35</f>
        <v>3</v>
      </c>
      <c r="E4" s="4">
        <f t="shared" ref="E4:E16" si="0">(B4-$B$21)^2</f>
        <v>2.06640625</v>
      </c>
      <c r="F4" s="4">
        <f>(D4-$B$21)^2</f>
        <v>5.94140625</v>
      </c>
      <c r="G4" s="4">
        <f>(B4-D4)^2</f>
        <v>1</v>
      </c>
      <c r="H4" s="6">
        <f t="shared" ref="H4:H18" si="1">D4-$B$21</f>
        <v>-2.4375</v>
      </c>
      <c r="I4" s="7"/>
      <c r="J4" s="2"/>
    </row>
    <row r="5" spans="1:10" x14ac:dyDescent="0.2">
      <c r="A5" s="1">
        <v>3</v>
      </c>
      <c r="B5" s="1">
        <v>3</v>
      </c>
      <c r="C5" s="1" t="s">
        <v>20</v>
      </c>
      <c r="D5" s="4">
        <f>$B$35</f>
        <v>3</v>
      </c>
      <c r="E5" s="4">
        <f t="shared" si="0"/>
        <v>5.94140625</v>
      </c>
      <c r="F5" s="4">
        <f>(D5-$B$21)^2</f>
        <v>5.94140625</v>
      </c>
      <c r="G5" s="4">
        <f>(B5-D5)^2</f>
        <v>0</v>
      </c>
      <c r="H5" s="6">
        <f t="shared" si="1"/>
        <v>-2.4375</v>
      </c>
      <c r="I5" s="7"/>
      <c r="J5" s="2"/>
    </row>
    <row r="6" spans="1:10" x14ac:dyDescent="0.2">
      <c r="A6" s="1">
        <v>4</v>
      </c>
      <c r="B6" s="1">
        <v>2</v>
      </c>
      <c r="C6" s="1" t="s">
        <v>20</v>
      </c>
      <c r="D6" s="4">
        <f>$B$35</f>
        <v>3</v>
      </c>
      <c r="E6" s="4">
        <f t="shared" si="0"/>
        <v>11.81640625</v>
      </c>
      <c r="F6" s="4">
        <f>(D6-$B$21)^2</f>
        <v>5.94140625</v>
      </c>
      <c r="G6" s="4">
        <f>(B6-D6)^2</f>
        <v>1</v>
      </c>
      <c r="H6" s="6">
        <f t="shared" si="1"/>
        <v>-2.4375</v>
      </c>
      <c r="I6" s="7"/>
      <c r="J6" s="2"/>
    </row>
    <row r="7" spans="1:10" x14ac:dyDescent="0.2">
      <c r="A7" s="1">
        <v>5</v>
      </c>
      <c r="B7" s="1">
        <v>9</v>
      </c>
      <c r="C7" s="1" t="s">
        <v>17</v>
      </c>
      <c r="D7" s="4">
        <f>$C$35</f>
        <v>9.25</v>
      </c>
      <c r="E7" s="4">
        <f t="shared" si="0"/>
        <v>12.69140625</v>
      </c>
      <c r="F7" s="4">
        <f>(D7-$B$21)^2</f>
        <v>14.53515625</v>
      </c>
      <c r="G7" s="4">
        <f>(B7-D7)^2</f>
        <v>6.25E-2</v>
      </c>
      <c r="H7" s="6">
        <f t="shared" si="1"/>
        <v>3.8125</v>
      </c>
      <c r="I7" s="7">
        <f t="shared" ref="I4:I18" si="2">F7*4</f>
        <v>58.140625</v>
      </c>
      <c r="J7" s="2"/>
    </row>
    <row r="8" spans="1:10" x14ac:dyDescent="0.2">
      <c r="A8" s="1">
        <v>6</v>
      </c>
      <c r="B8" s="1">
        <v>8</v>
      </c>
      <c r="C8" s="1" t="s">
        <v>17</v>
      </c>
      <c r="D8" s="4">
        <f t="shared" ref="D8:D10" si="3">$C$35</f>
        <v>9.25</v>
      </c>
      <c r="E8" s="4">
        <f t="shared" si="0"/>
        <v>6.56640625</v>
      </c>
      <c r="F8" s="4">
        <f>(D8-$B$21)^2</f>
        <v>14.53515625</v>
      </c>
      <c r="G8" s="4">
        <f>(B8-D8)^2</f>
        <v>1.5625</v>
      </c>
      <c r="H8" s="6">
        <f t="shared" si="1"/>
        <v>3.8125</v>
      </c>
      <c r="I8" s="7"/>
      <c r="J8" s="2"/>
    </row>
    <row r="9" spans="1:10" x14ac:dyDescent="0.2">
      <c r="A9" s="1">
        <v>7</v>
      </c>
      <c r="B9" s="1">
        <v>10</v>
      </c>
      <c r="C9" s="1" t="s">
        <v>17</v>
      </c>
      <c r="D9" s="4">
        <f t="shared" si="3"/>
        <v>9.25</v>
      </c>
      <c r="E9" s="4">
        <f t="shared" si="0"/>
        <v>20.81640625</v>
      </c>
      <c r="F9" s="4">
        <f>(D9-$B$21)^2</f>
        <v>14.53515625</v>
      </c>
      <c r="G9" s="4">
        <f>(B9-D9)^2</f>
        <v>0.5625</v>
      </c>
      <c r="H9" s="6">
        <f t="shared" si="1"/>
        <v>3.8125</v>
      </c>
      <c r="I9" s="7"/>
    </row>
    <row r="10" spans="1:10" x14ac:dyDescent="0.2">
      <c r="A10" s="1">
        <v>8</v>
      </c>
      <c r="B10" s="1">
        <v>10</v>
      </c>
      <c r="C10" s="1" t="s">
        <v>17</v>
      </c>
      <c r="D10" s="4">
        <f t="shared" si="3"/>
        <v>9.25</v>
      </c>
      <c r="E10" s="4">
        <f t="shared" si="0"/>
        <v>20.81640625</v>
      </c>
      <c r="F10" s="4">
        <f>(D10-$B$21)^2</f>
        <v>14.53515625</v>
      </c>
      <c r="G10" s="4">
        <f>(B10-D10)^2</f>
        <v>0.5625</v>
      </c>
      <c r="H10" s="6">
        <f t="shared" si="1"/>
        <v>3.8125</v>
      </c>
      <c r="I10" s="7"/>
    </row>
    <row r="11" spans="1:10" x14ac:dyDescent="0.2">
      <c r="A11" s="1">
        <v>9</v>
      </c>
      <c r="B11" s="1">
        <v>6</v>
      </c>
      <c r="C11" s="1" t="s">
        <v>18</v>
      </c>
      <c r="D11" s="4">
        <f>D$35</f>
        <v>5.25</v>
      </c>
      <c r="E11" s="4">
        <f t="shared" si="0"/>
        <v>0.31640625</v>
      </c>
      <c r="F11" s="4">
        <f>(D11-$B$21)^2</f>
        <v>3.515625E-2</v>
      </c>
      <c r="G11" s="4">
        <f>(B11-D11)^2</f>
        <v>0.5625</v>
      </c>
      <c r="H11" s="6">
        <f t="shared" si="1"/>
        <v>-0.1875</v>
      </c>
      <c r="I11" s="7">
        <f t="shared" si="2"/>
        <v>0.140625</v>
      </c>
    </row>
    <row r="12" spans="1:10" x14ac:dyDescent="0.2">
      <c r="A12" s="1">
        <v>10</v>
      </c>
      <c r="B12" s="1">
        <v>5</v>
      </c>
      <c r="C12" s="1" t="s">
        <v>18</v>
      </c>
      <c r="D12" s="4">
        <f t="shared" ref="D12:D18" si="4">D$35</f>
        <v>5.25</v>
      </c>
      <c r="E12" s="4">
        <f t="shared" si="0"/>
        <v>0.19140625</v>
      </c>
      <c r="F12" s="4">
        <f>(D12-$B$21)^2</f>
        <v>3.515625E-2</v>
      </c>
      <c r="G12" s="4">
        <f>(B12-D12)^2</f>
        <v>6.25E-2</v>
      </c>
      <c r="H12" s="6">
        <f t="shared" si="1"/>
        <v>-0.1875</v>
      </c>
      <c r="I12" s="7"/>
    </row>
    <row r="13" spans="1:10" x14ac:dyDescent="0.2">
      <c r="A13" s="1">
        <v>11</v>
      </c>
      <c r="B13" s="1">
        <v>3</v>
      </c>
      <c r="C13" s="1" t="s">
        <v>18</v>
      </c>
      <c r="D13" s="4">
        <f t="shared" si="4"/>
        <v>5.25</v>
      </c>
      <c r="E13" s="4">
        <f t="shared" si="0"/>
        <v>5.94140625</v>
      </c>
      <c r="F13" s="4">
        <f>(D13-$B$21)^2</f>
        <v>3.515625E-2</v>
      </c>
      <c r="G13" s="4">
        <f>(B13-D13)^2</f>
        <v>5.0625</v>
      </c>
      <c r="H13" s="6">
        <f t="shared" si="1"/>
        <v>-0.1875</v>
      </c>
      <c r="I13" s="7"/>
    </row>
    <row r="14" spans="1:10" x14ac:dyDescent="0.2">
      <c r="A14" s="1">
        <v>12</v>
      </c>
      <c r="B14" s="1">
        <v>7</v>
      </c>
      <c r="C14" s="1" t="s">
        <v>18</v>
      </c>
      <c r="D14" s="4">
        <f t="shared" si="4"/>
        <v>5.25</v>
      </c>
      <c r="E14" s="4">
        <f t="shared" si="0"/>
        <v>2.44140625</v>
      </c>
      <c r="F14" s="4">
        <f>(D14-$B$21)^2</f>
        <v>3.515625E-2</v>
      </c>
      <c r="G14" s="4">
        <f>(B14-D14)^2</f>
        <v>3.0625</v>
      </c>
      <c r="H14" s="6">
        <f t="shared" si="1"/>
        <v>-0.1875</v>
      </c>
      <c r="I14" s="7"/>
    </row>
    <row r="15" spans="1:10" x14ac:dyDescent="0.2">
      <c r="A15" s="1">
        <v>13</v>
      </c>
      <c r="B15" s="1">
        <v>3</v>
      </c>
      <c r="C15" s="1" t="s">
        <v>32</v>
      </c>
      <c r="D15" s="4">
        <f>E$35</f>
        <v>4.25</v>
      </c>
      <c r="E15" s="4">
        <f t="shared" si="0"/>
        <v>5.94140625</v>
      </c>
      <c r="F15" s="4">
        <f>(D15-$B$21)^2</f>
        <v>1.41015625</v>
      </c>
      <c r="G15" s="4">
        <f>(B15-D15)^2</f>
        <v>1.5625</v>
      </c>
      <c r="H15" s="6">
        <f t="shared" si="1"/>
        <v>-1.1875</v>
      </c>
      <c r="I15" s="7">
        <f t="shared" si="2"/>
        <v>5.640625</v>
      </c>
    </row>
    <row r="16" spans="1:10" x14ac:dyDescent="0.2">
      <c r="A16" s="1">
        <v>14</v>
      </c>
      <c r="B16" s="1">
        <v>8</v>
      </c>
      <c r="C16" s="1" t="s">
        <v>32</v>
      </c>
      <c r="D16" s="4">
        <f>E$35</f>
        <v>4.25</v>
      </c>
      <c r="E16" s="4">
        <f t="shared" si="0"/>
        <v>6.56640625</v>
      </c>
      <c r="F16" s="4">
        <f>(D16-$B$21)^2</f>
        <v>1.41015625</v>
      </c>
      <c r="G16" s="4">
        <f>(B16-D16)^2</f>
        <v>14.0625</v>
      </c>
      <c r="H16" s="6">
        <f t="shared" si="1"/>
        <v>-1.1875</v>
      </c>
      <c r="I16" s="7"/>
    </row>
    <row r="17" spans="1:9" x14ac:dyDescent="0.2">
      <c r="A17" s="1">
        <v>15</v>
      </c>
      <c r="B17" s="1">
        <v>2</v>
      </c>
      <c r="C17" s="1" t="s">
        <v>32</v>
      </c>
      <c r="D17" s="4">
        <f>E$35</f>
        <v>4.25</v>
      </c>
      <c r="E17" s="4">
        <f>(B17-$B$21)^2</f>
        <v>11.81640625</v>
      </c>
      <c r="F17" s="4">
        <f>(D17-$B$21)^2</f>
        <v>1.41015625</v>
      </c>
      <c r="G17" s="4">
        <f>(B17-D17)^2</f>
        <v>5.0625</v>
      </c>
      <c r="H17" s="6">
        <f t="shared" si="1"/>
        <v>-1.1875</v>
      </c>
      <c r="I17" s="7"/>
    </row>
    <row r="18" spans="1:9" x14ac:dyDescent="0.2">
      <c r="A18" s="1">
        <v>16</v>
      </c>
      <c r="B18" s="1">
        <v>4</v>
      </c>
      <c r="C18" s="1" t="s">
        <v>32</v>
      </c>
      <c r="D18" s="4">
        <f>E$35</f>
        <v>4.25</v>
      </c>
      <c r="E18" s="4">
        <f>(B18-$B$21)^2</f>
        <v>2.06640625</v>
      </c>
      <c r="F18" s="4">
        <f>(D18-$B$21)^2</f>
        <v>1.41015625</v>
      </c>
      <c r="G18" s="4">
        <f>(B18-D18)^2</f>
        <v>6.25E-2</v>
      </c>
      <c r="H18" s="6">
        <f t="shared" si="1"/>
        <v>-1.1875</v>
      </c>
      <c r="I18" s="7"/>
    </row>
    <row r="19" spans="1:9" x14ac:dyDescent="0.2">
      <c r="E19" s="1"/>
      <c r="F19" s="1"/>
      <c r="G19" s="1"/>
    </row>
    <row r="20" spans="1:9" x14ac:dyDescent="0.2">
      <c r="A20" t="s">
        <v>4</v>
      </c>
      <c r="B20" s="6">
        <f>SUM(B3:B18)</f>
        <v>87</v>
      </c>
      <c r="C20" s="6"/>
      <c r="D20" s="6"/>
      <c r="E20" s="4">
        <f>SUM(E3:E18)</f>
        <v>121.9375</v>
      </c>
      <c r="F20" s="4">
        <f>SUM(F3:F18)</f>
        <v>87.6875</v>
      </c>
      <c r="G20" s="4">
        <f>SUM(G3:G18)</f>
        <v>34.25</v>
      </c>
    </row>
    <row r="21" spans="1:9" x14ac:dyDescent="0.2">
      <c r="A21" t="s">
        <v>5</v>
      </c>
      <c r="B21" s="6">
        <f>B20/16</f>
        <v>5.4375</v>
      </c>
      <c r="C21" s="6"/>
      <c r="D21" s="6"/>
      <c r="E21" s="6"/>
      <c r="F21" s="6"/>
      <c r="G21" s="6"/>
    </row>
    <row r="22" spans="1:9" x14ac:dyDescent="0.2">
      <c r="A22" t="s">
        <v>34</v>
      </c>
      <c r="B22" s="6"/>
      <c r="C22" s="6"/>
      <c r="D22" s="6"/>
      <c r="E22" s="6"/>
      <c r="F22" s="6"/>
      <c r="G22" s="6"/>
    </row>
    <row r="24" spans="1:9" x14ac:dyDescent="0.2">
      <c r="B24" s="1"/>
      <c r="C24" s="1" t="s">
        <v>9</v>
      </c>
      <c r="D24" s="1" t="s">
        <v>10</v>
      </c>
      <c r="E24" s="1" t="s">
        <v>11</v>
      </c>
      <c r="F24" s="1" t="s">
        <v>12</v>
      </c>
      <c r="G24" s="1" t="s">
        <v>21</v>
      </c>
    </row>
    <row r="25" spans="1:9" x14ac:dyDescent="0.2">
      <c r="B25" s="1" t="s">
        <v>7</v>
      </c>
      <c r="C25" s="4">
        <f>F20</f>
        <v>87.6875</v>
      </c>
      <c r="D25" s="1">
        <f>4-1</f>
        <v>3</v>
      </c>
      <c r="E25" s="5">
        <f>C25/D25</f>
        <v>29.229166666666668</v>
      </c>
      <c r="F25" s="4">
        <f>E25/E26</f>
        <v>10.240875912408761</v>
      </c>
      <c r="G25" s="1">
        <v>3.49</v>
      </c>
      <c r="H25">
        <f>C25/C27</f>
        <v>0.71911840082009226</v>
      </c>
    </row>
    <row r="26" spans="1:9" x14ac:dyDescent="0.2">
      <c r="B26" s="1" t="s">
        <v>6</v>
      </c>
      <c r="C26" s="4">
        <f>G20</f>
        <v>34.25</v>
      </c>
      <c r="D26" s="1">
        <f>16-4</f>
        <v>12</v>
      </c>
      <c r="E26" s="4">
        <f>C26/D26</f>
        <v>2.8541666666666665</v>
      </c>
      <c r="F26" s="1"/>
      <c r="G26" s="1"/>
    </row>
    <row r="27" spans="1:9" x14ac:dyDescent="0.2">
      <c r="B27" s="1" t="s">
        <v>8</v>
      </c>
      <c r="C27" s="4">
        <f>C25+C26</f>
        <v>121.9375</v>
      </c>
      <c r="D27" s="1"/>
      <c r="E27" s="1"/>
      <c r="F27" s="1"/>
      <c r="G27" s="1"/>
    </row>
    <row r="30" spans="1:9" x14ac:dyDescent="0.2">
      <c r="B30" t="s">
        <v>13</v>
      </c>
      <c r="C30" t="s">
        <v>15</v>
      </c>
      <c r="D30" s="3"/>
    </row>
    <row r="31" spans="1:9" x14ac:dyDescent="0.2">
      <c r="B31" t="s">
        <v>14</v>
      </c>
      <c r="C31" t="s">
        <v>16</v>
      </c>
    </row>
    <row r="34" spans="1:5" x14ac:dyDescent="0.2">
      <c r="B34" t="s">
        <v>24</v>
      </c>
      <c r="C34" t="s">
        <v>26</v>
      </c>
      <c r="D34" t="s">
        <v>25</v>
      </c>
      <c r="E34" t="s">
        <v>33</v>
      </c>
    </row>
    <row r="35" spans="1:5" x14ac:dyDescent="0.2">
      <c r="A35" t="s">
        <v>22</v>
      </c>
      <c r="B35" s="4">
        <f>AVERAGE(B3:B6)</f>
        <v>3</v>
      </c>
      <c r="C35" s="4">
        <f>AVERAGE(B7:B10)</f>
        <v>9.25</v>
      </c>
      <c r="D35" s="4">
        <f>AVERAGE(B11:B14)</f>
        <v>5.25</v>
      </c>
      <c r="E35" s="4">
        <f>AVERAGE(B15:B18)</f>
        <v>4.25</v>
      </c>
    </row>
    <row r="36" spans="1:5" x14ac:dyDescent="0.2">
      <c r="A36" t="s">
        <v>23</v>
      </c>
      <c r="B36" s="4">
        <f>_xlfn.STDEV.S(B3:B6)</f>
        <v>0.81649658092772603</v>
      </c>
      <c r="C36" s="4">
        <f>_xlfn.STDEV.S(B7:B10)</f>
        <v>0.9574271077563381</v>
      </c>
      <c r="D36" s="4">
        <f>_xlfn.STDEV.S(B11:B14)</f>
        <v>1.707825127659933</v>
      </c>
      <c r="E36" s="4">
        <f>_xlfn.STDEV.S(B15:B18)</f>
        <v>2.6299556396765835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Anova I (2)</vt:lpstr>
      <vt:lpstr>Anova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Miranda</dc:creator>
  <cp:lastModifiedBy>Daniel Miranda</cp:lastModifiedBy>
  <dcterms:created xsi:type="dcterms:W3CDTF">2022-05-23T20:41:48Z</dcterms:created>
  <dcterms:modified xsi:type="dcterms:W3CDTF">2025-05-07T04:26:01Z</dcterms:modified>
</cp:coreProperties>
</file>